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kp9\R\USAPI\CNMI\"/>
    </mc:Choice>
  </mc:AlternateContent>
  <xr:revisionPtr revIDLastSave="0" documentId="8_{8E81A9F2-6F61-40F9-B2AC-1930C50DA3D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NMI_County_Data" sheetId="1" r:id="rId1"/>
    <sheet name="Documentation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B6" i="2"/>
  <c r="J5" i="1"/>
  <c r="I5" i="1"/>
  <c r="K5" i="1" s="1"/>
  <c r="C5" i="1"/>
  <c r="J4" i="1"/>
  <c r="I4" i="1"/>
  <c r="K4" i="1" s="1"/>
  <c r="C4" i="1"/>
  <c r="J3" i="1"/>
  <c r="I3" i="1"/>
  <c r="K3" i="1" s="1"/>
  <c r="C3" i="1"/>
  <c r="J2" i="1"/>
  <c r="B9" i="2" s="1"/>
  <c r="I2" i="1"/>
  <c r="B8" i="2" s="1"/>
  <c r="C2" i="1"/>
  <c r="K2" i="1" l="1"/>
</calcChain>
</file>

<file path=xl/sharedStrings.xml><?xml version="1.0" encoding="utf-8"?>
<sst xmlns="http://schemas.openxmlformats.org/spreadsheetml/2006/main" count="94" uniqueCount="74">
  <si>
    <t>territory</t>
  </si>
  <si>
    <t>state_fips</t>
  </si>
  <si>
    <t>county_fips</t>
  </si>
  <si>
    <t>geoid</t>
  </si>
  <si>
    <t>county_equivalent</t>
  </si>
  <si>
    <t>population_year</t>
  </si>
  <si>
    <t>total_population</t>
  </si>
  <si>
    <t>land_area_sq_m</t>
  </si>
  <si>
    <t>land_area_sq_km</t>
  </si>
  <si>
    <t>land_area_sq_mi</t>
  </si>
  <si>
    <t>population_density_per_sq_km</t>
  </si>
  <si>
    <t>latitude</t>
  </si>
  <si>
    <t>longitude</t>
  </si>
  <si>
    <t>coordinate_type</t>
  </si>
  <si>
    <t>coordinate_crs</t>
  </si>
  <si>
    <t>centroid_latitude</t>
  </si>
  <si>
    <t>centroid_longitude</t>
  </si>
  <si>
    <t>source_url</t>
  </si>
  <si>
    <t>Commonwealth of the Northern Mariana Islands</t>
  </si>
  <si>
    <t>69</t>
  </si>
  <si>
    <t>69085</t>
  </si>
  <si>
    <t>Northern Islands Municipality</t>
  </si>
  <si>
    <t>Census internal point</t>
  </si>
  <si>
    <t>NAD83 (EPSG:4269)</t>
  </si>
  <si>
    <t>https://tigerweb.geo.census.gov/tigerwebmain/Files/bas26/tigerweb_bas26_county_2020_tab20_mp.html</t>
  </si>
  <si>
    <t>69100</t>
  </si>
  <si>
    <t>Rota Municipality</t>
  </si>
  <si>
    <t>69110</t>
  </si>
  <si>
    <t>Saipan Municipality</t>
  </si>
  <si>
    <t>69120</t>
  </si>
  <si>
    <t>Tinian Municipality</t>
  </si>
  <si>
    <t>CNMI County-Level Population, Area, and GIS Coordinates</t>
  </si>
  <si>
    <t>County equivalents are CNMI's four municipalities. Population and geography fields use the 2020 Census geography vintage.</t>
  </si>
  <si>
    <t>Dataset summary</t>
  </si>
  <si>
    <t>Sources</t>
  </si>
  <si>
    <t>Geography level</t>
  </si>
  <si>
    <t>Municipality (county equivalent)</t>
  </si>
  <si>
    <t>Population and GIS fields</t>
  </si>
  <si>
    <t>Number of municipalities</t>
  </si>
  <si>
    <t>2020 Island Areas Census tables</t>
  </si>
  <si>
    <t>https://www.census.gov/data/tables/2020/dec/2020-commonwealth-northern-mariana-islands.html</t>
  </si>
  <si>
    <t>Total population (2020)</t>
  </si>
  <si>
    <t>County-equivalent definition</t>
  </si>
  <si>
    <t>https://www.census.gov/programs-surveys/geography/about/glossary.html</t>
  </si>
  <si>
    <t>Total land area (sq km)</t>
  </si>
  <si>
    <t>Total land area (sq mi)</t>
  </si>
  <si>
    <t>Field definitions and use notes</t>
  </si>
  <si>
    <t>Conversion constants</t>
  </si>
  <si>
    <t>Field</t>
  </si>
  <si>
    <t>Definition</t>
  </si>
  <si>
    <t>Constant</t>
  </si>
  <si>
    <t>Value</t>
  </si>
  <si>
    <t>Official municipality name; municipalities are treated as county equivalents by the U.S. Census Bureau.</t>
  </si>
  <si>
    <t>Square meters per square kilometer</t>
  </si>
  <si>
    <t>2020 Census population count (POP100).</t>
  </si>
  <si>
    <t>Square meters per square mile</t>
  </si>
  <si>
    <t>Land area in square meters (AREALAND) from Census TIGERweb.</t>
  </si>
  <si>
    <t>land_area_sq_km / sq_mi</t>
  </si>
  <si>
    <t>Formula-derived conversions from land_area_sq_m.</t>
  </si>
  <si>
    <t>latitude / longitude</t>
  </si>
  <si>
    <t>Census internal point coordinates. Recommended point fields for mapping because the point is placed within the geography.</t>
  </si>
  <si>
    <t>centroid_latitude / longitude</t>
  </si>
  <si>
    <t>Geometric centroid supplied by Census TIGERweb. A centroid may fall over water for multipart island geographies.</t>
  </si>
  <si>
    <t>NAD83 geographic coordinates in decimal degrees (EPSG:4269).</t>
  </si>
  <si>
    <t>state_fips / county_fips / geoid</t>
  </si>
  <si>
    <t>Codes are stored as text to preserve leading zeros; GEOID concatenates the state and county FIPS codes.</t>
  </si>
  <si>
    <t>Northern Islands</t>
  </si>
  <si>
    <t>This municipality is a multipart island chain. Use the internal point for a single marker; polygon analysis requires a boundary file.</t>
  </si>
  <si>
    <t>Area definition</t>
  </si>
  <si>
    <t>Land area only; water area is not included.</t>
  </si>
  <si>
    <t>Data vintage</t>
  </si>
  <si>
    <t>2020 Census county-equivalent geography, data as of January 1, 2020.</t>
  </si>
  <si>
    <t>sq_m_per_sq_km</t>
  </si>
  <si>
    <t>sq_m_per_sq_mi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</si>
</sst>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#,##0.000000"/>
    <numFmt numFmtId="166" formatCode="#,##0.0"/>
    <numFmt numFmtId="167" formatCode="0.0000000"/>
  </numFmts>
  <fonts count="8">
    <font>
      <sz val="11"/>
      <name val="Carlito"/>
    </font>
    <font>
      <b/>
      <sz val="18"/>
      <color rgb="FFFFFFFF"/>
      <name val="Aptos Display"/>
    </font>
    <font>
      <i/>
      <sz val="10"/>
      <color rgb="FF003F67"/>
      <name val="Aptos"/>
    </font>
    <font>
      <b/>
      <sz val="10"/>
      <color rgb="FFFFFFFF"/>
      <name val="Aptos"/>
    </font>
    <font>
      <sz val="10"/>
      <name val="Aptos"/>
    </font>
    <font>
      <b/>
      <sz val="10"/>
      <color rgb="FF17324D"/>
      <name val="Aptos"/>
    </font>
    <font>
      <sz val="10"/>
      <color rgb="FF17324D"/>
      <name val="Aptos"/>
    </font>
    <font>
      <i/>
      <sz val="10"/>
      <color rgb="FF6B7C8C"/>
      <name val="Aptos"/>
    </font>
  </fonts>
  <fills count="9">
    <fill>
      <patternFill patternType="none"/>
    </fill>
    <fill>
      <patternFill patternType="gray125"/>
    </fill>
    <fill>
      <patternFill patternType="solid">
        <fgColor rgb="FF0056A6"/>
      </patternFill>
    </fill>
    <fill>
      <patternFill patternType="solid">
        <fgColor rgb="FFEAF3F8"/>
      </patternFill>
    </fill>
    <fill>
      <patternFill patternType="solid">
        <fgColor rgb="FF0071BC"/>
      </patternFill>
    </fill>
    <fill>
      <patternFill patternType="solid">
        <fgColor rgb="FFF4F8FA"/>
      </patternFill>
    </fill>
    <fill>
      <patternFill patternType="solid">
        <fgColor rgb="FFFFFFFF"/>
      </patternFill>
    </fill>
    <fill>
      <patternFill patternType="solid">
        <fgColor rgb="FF003F67"/>
      </patternFill>
    </fill>
    <fill>
      <patternFill patternType="solid">
        <fgColor rgb="FFFAFCFD"/>
      </patternFill>
    </fill>
  </fills>
  <borders count="10">
    <border>
      <left/>
      <right/>
      <top/>
      <bottom/>
      <diagonal/>
    </border>
    <border>
      <left/>
      <right style="thin">
        <color rgb="FFD7E3EA"/>
      </right>
      <top/>
      <bottom style="thin">
        <color rgb="FFD7E3EA"/>
      </bottom>
      <diagonal/>
    </border>
    <border>
      <left style="thin">
        <color rgb="FFD7E3EA"/>
      </left>
      <right/>
      <top/>
      <bottom style="thin">
        <color rgb="FFD7E3EA"/>
      </bottom>
      <diagonal/>
    </border>
    <border>
      <left/>
      <right style="thin">
        <color rgb="FFD7E3EA"/>
      </right>
      <top style="thin">
        <color rgb="FFD7E3EA"/>
      </top>
      <bottom style="thin">
        <color rgb="FFD7E3EA"/>
      </bottom>
      <diagonal/>
    </border>
    <border>
      <left style="thin">
        <color rgb="FFD7E3EA"/>
      </left>
      <right/>
      <top style="thin">
        <color rgb="FFD7E3EA"/>
      </top>
      <bottom style="thin">
        <color rgb="FFD7E3EA"/>
      </bottom>
      <diagonal/>
    </border>
    <border>
      <left/>
      <right style="thin">
        <color rgb="FFD7E3EA"/>
      </right>
      <top style="thin">
        <color rgb="FFD7E3EA"/>
      </top>
      <bottom/>
      <diagonal/>
    </border>
    <border>
      <left style="thin">
        <color rgb="FFD7E3EA"/>
      </left>
      <right/>
      <top style="thin">
        <color rgb="FFD7E3EA"/>
      </top>
      <bottom/>
      <diagonal/>
    </border>
    <border>
      <left style="thin">
        <color rgb="FFD7E3EA"/>
      </left>
      <right style="thin">
        <color rgb="FFD7E3EA"/>
      </right>
      <top/>
      <bottom style="thin">
        <color rgb="FFD7E3EA"/>
      </bottom>
      <diagonal/>
    </border>
    <border>
      <left style="thin">
        <color rgb="FFD7E3EA"/>
      </left>
      <right style="thin">
        <color rgb="FFD7E3EA"/>
      </right>
      <top style="thin">
        <color rgb="FFD7E3EA"/>
      </top>
      <bottom style="thin">
        <color rgb="FFD7E3EA"/>
      </bottom>
      <diagonal/>
    </border>
    <border>
      <left style="thin">
        <color rgb="FFD7E3EA"/>
      </left>
      <right style="thin">
        <color rgb="FFD7E3EA"/>
      </right>
      <top style="thin">
        <color rgb="FFD7E3EA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0" borderId="0" xfId="0" applyFont="1"/>
    <xf numFmtId="0" fontId="5" fillId="5" borderId="1" xfId="0" applyFont="1" applyFill="1" applyBorder="1"/>
    <xf numFmtId="0" fontId="6" fillId="6" borderId="2" xfId="0" applyFont="1" applyFill="1" applyBorder="1"/>
    <xf numFmtId="0" fontId="5" fillId="5" borderId="1" xfId="0" applyFont="1" applyFill="1" applyBorder="1" applyAlignment="1">
      <alignment vertical="top" wrapText="1"/>
    </xf>
    <xf numFmtId="0" fontId="5" fillId="5" borderId="3" xfId="0" applyFont="1" applyFill="1" applyBorder="1"/>
    <xf numFmtId="3" fontId="6" fillId="6" borderId="4" xfId="0" applyNumberFormat="1" applyFont="1" applyFill="1" applyBorder="1"/>
    <xf numFmtId="0" fontId="5" fillId="5" borderId="3" xfId="0" applyFont="1" applyFill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5" fillId="5" borderId="5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164" fontId="6" fillId="6" borderId="4" xfId="0" applyNumberFormat="1" applyFont="1" applyFill="1" applyBorder="1"/>
    <xf numFmtId="0" fontId="5" fillId="5" borderId="5" xfId="0" applyFont="1" applyFill="1" applyBorder="1"/>
    <xf numFmtId="164" fontId="6" fillId="6" borderId="6" xfId="0" applyNumberFormat="1" applyFont="1" applyFill="1" applyBorder="1"/>
    <xf numFmtId="0" fontId="3" fillId="7" borderId="1" xfId="0" applyFont="1" applyFill="1" applyBorder="1" applyAlignment="1">
      <alignment vertical="top" wrapText="1"/>
    </xf>
    <xf numFmtId="0" fontId="3" fillId="7" borderId="2" xfId="0" applyFont="1" applyFill="1" applyBorder="1" applyAlignment="1">
      <alignment vertical="top" wrapText="1"/>
    </xf>
    <xf numFmtId="0" fontId="3" fillId="7" borderId="1" xfId="0" applyFont="1" applyFill="1" applyBorder="1"/>
    <xf numFmtId="0" fontId="3" fillId="7" borderId="2" xfId="0" applyFont="1" applyFill="1" applyBorder="1"/>
    <xf numFmtId="165" fontId="4" fillId="0" borderId="4" xfId="0" applyNumberFormat="1" applyFont="1" applyBorder="1"/>
    <xf numFmtId="165" fontId="4" fillId="0" borderId="6" xfId="0" applyNumberFormat="1" applyFont="1" applyBorder="1"/>
    <xf numFmtId="0" fontId="7" fillId="8" borderId="0" xfId="0" applyFont="1" applyFill="1"/>
    <xf numFmtId="165" fontId="7" fillId="8" borderId="0" xfId="0" applyNumberFormat="1" applyFont="1" applyFill="1"/>
    <xf numFmtId="0" fontId="3" fillId="2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49" fontId="6" fillId="0" borderId="0" xfId="0" applyNumberFormat="1" applyFont="1" applyAlignment="1">
      <alignment vertical="center"/>
    </xf>
    <xf numFmtId="3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166" fontId="6" fillId="0" borderId="0" xfId="0" applyNumberFormat="1" applyFont="1" applyAlignment="1">
      <alignment vertical="center"/>
    </xf>
    <xf numFmtId="167" fontId="6" fillId="0" borderId="0" xfId="0" applyNumberFormat="1" applyFont="1" applyAlignment="1">
      <alignment vertical="center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3" fillId="4" borderId="0" xfId="0" applyFont="1" applyFill="1"/>
    <xf numFmtId="0" fontId="4" fillId="0" borderId="7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0" borderId="9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NMICountyData" displayName="CNMICountyData" ref="A1:R5" totalsRowShown="0">
  <autoFilter ref="A1:R5" xr:uid="{00000000-0009-0000-0100-000001000000}"/>
  <tableColumns count="18">
    <tableColumn id="1" xr3:uid="{00000000-0010-0000-0000-000001000000}" name="territory"/>
    <tableColumn id="2" xr3:uid="{00000000-0010-0000-0000-000002000000}" name="state_fips"/>
    <tableColumn id="3" xr3:uid="{00000000-0010-0000-0000-000003000000}" name="county_fips"/>
    <tableColumn id="4" xr3:uid="{00000000-0010-0000-0000-000004000000}" name="geoid"/>
    <tableColumn id="5" xr3:uid="{00000000-0010-0000-0000-000005000000}" name="county_equivalent"/>
    <tableColumn id="6" xr3:uid="{00000000-0010-0000-0000-000006000000}" name="population_year"/>
    <tableColumn id="7" xr3:uid="{00000000-0010-0000-0000-000007000000}" name="total_population"/>
    <tableColumn id="8" xr3:uid="{00000000-0010-0000-0000-000008000000}" name="land_area_sq_m"/>
    <tableColumn id="9" xr3:uid="{00000000-0010-0000-0000-000009000000}" name="land_area_sq_km"/>
    <tableColumn id="10" xr3:uid="{00000000-0010-0000-0000-00000A000000}" name="land_area_sq_mi"/>
    <tableColumn id="11" xr3:uid="{00000000-0010-0000-0000-00000B000000}" name="population_density_per_sq_km"/>
    <tableColumn id="12" xr3:uid="{00000000-0010-0000-0000-00000C000000}" name="latitude"/>
    <tableColumn id="13" xr3:uid="{00000000-0010-0000-0000-00000D000000}" name="longitude"/>
    <tableColumn id="14" xr3:uid="{00000000-0010-0000-0000-00000E000000}" name="coordinate_type"/>
    <tableColumn id="15" xr3:uid="{00000000-0010-0000-0000-00000F000000}" name="coordinate_crs"/>
    <tableColumn id="16" xr3:uid="{00000000-0010-0000-0000-000010000000}" name="centroid_latitude"/>
    <tableColumn id="17" xr3:uid="{00000000-0010-0000-0000-000011000000}" name="centroid_longitude"/>
    <tableColumn id="18" xr3:uid="{00000000-0010-0000-0000-000012000000}" name="source_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"/>
  <sheetViews>
    <sheetView showGridLines="0" tabSelected="1" topLeftCell="K1" workbookViewId="0">
      <selection activeCell="H13" sqref="H13"/>
    </sheetView>
  </sheetViews>
  <sheetFormatPr defaultRowHeight="13.8"/>
  <cols>
    <col min="1" max="1" width="40" customWidth="1"/>
    <col min="2" max="2" width="11" customWidth="1"/>
    <col min="3" max="3" width="12" customWidth="1"/>
    <col min="4" max="4" width="11" customWidth="1"/>
    <col min="5" max="5" width="27" customWidth="1"/>
    <col min="6" max="6" width="14" customWidth="1"/>
    <col min="7" max="7" width="16" customWidth="1"/>
    <col min="8" max="10" width="18" customWidth="1"/>
    <col min="11" max="11" width="24" customWidth="1"/>
    <col min="12" max="13" width="15" customWidth="1"/>
    <col min="14" max="14" width="22" customWidth="1"/>
    <col min="15" max="15" width="19" customWidth="1"/>
    <col min="16" max="16" width="18" customWidth="1"/>
    <col min="17" max="17" width="19" customWidth="1"/>
    <col min="18" max="18" width="52" customWidth="1"/>
  </cols>
  <sheetData>
    <row r="1" spans="1:18" ht="37.950000000000003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</row>
    <row r="2" spans="1:18" ht="31.95" customHeight="1">
      <c r="A2" s="23" t="s">
        <v>18</v>
      </c>
      <c r="B2" s="24" t="s">
        <v>19</v>
      </c>
      <c r="C2" s="24" t="str">
        <f>"085"</f>
        <v>085</v>
      </c>
      <c r="D2" s="24" t="s">
        <v>20</v>
      </c>
      <c r="E2" s="23" t="s">
        <v>21</v>
      </c>
      <c r="F2" s="25">
        <v>2020</v>
      </c>
      <c r="G2" s="25">
        <v>7</v>
      </c>
      <c r="H2" s="25">
        <v>160067128</v>
      </c>
      <c r="I2" s="26">
        <f>H2/Documentation!$B$25</f>
        <v>160.067128</v>
      </c>
      <c r="J2" s="26">
        <f>H2/Documentation!$B$26</f>
        <v>61.802263632489968</v>
      </c>
      <c r="K2" s="27">
        <f>G2/I2</f>
        <v>4.3731652385241772E-2</v>
      </c>
      <c r="L2" s="28">
        <v>18.116364999999998</v>
      </c>
      <c r="M2" s="28">
        <v>145.76670150000001</v>
      </c>
      <c r="N2" s="23" t="s">
        <v>22</v>
      </c>
      <c r="O2" s="23" t="s">
        <v>23</v>
      </c>
      <c r="P2" s="28">
        <v>18.107883399999999</v>
      </c>
      <c r="Q2" s="28">
        <v>145.63503739999999</v>
      </c>
      <c r="R2" s="23" t="s">
        <v>24</v>
      </c>
    </row>
    <row r="3" spans="1:18" ht="31.95" customHeight="1">
      <c r="A3" s="23" t="s">
        <v>18</v>
      </c>
      <c r="B3" s="24" t="s">
        <v>19</v>
      </c>
      <c r="C3" s="24" t="str">
        <f>"100"</f>
        <v>100</v>
      </c>
      <c r="D3" s="24" t="s">
        <v>25</v>
      </c>
      <c r="E3" s="23" t="s">
        <v>26</v>
      </c>
      <c r="F3" s="25">
        <v>2020</v>
      </c>
      <c r="G3" s="25">
        <v>1893</v>
      </c>
      <c r="H3" s="25">
        <v>85096797</v>
      </c>
      <c r="I3" s="26">
        <f>H3/Documentation!$B$25</f>
        <v>85.096796999999995</v>
      </c>
      <c r="J3" s="26">
        <f>H3/Documentation!$B$26</f>
        <v>32.85605700674833</v>
      </c>
      <c r="K3" s="27">
        <f>G3/I3</f>
        <v>22.245255599925812</v>
      </c>
      <c r="L3" s="28">
        <v>14.152493399999999</v>
      </c>
      <c r="M3" s="28">
        <v>145.2129037</v>
      </c>
      <c r="N3" s="23" t="s">
        <v>22</v>
      </c>
      <c r="O3" s="23" t="s">
        <v>23</v>
      </c>
      <c r="P3" s="28">
        <v>14.1515427</v>
      </c>
      <c r="Q3" s="28">
        <v>145.21515299999999</v>
      </c>
      <c r="R3" s="23" t="s">
        <v>24</v>
      </c>
    </row>
    <row r="4" spans="1:18" ht="31.95" customHeight="1">
      <c r="A4" s="23" t="s">
        <v>18</v>
      </c>
      <c r="B4" s="24" t="s">
        <v>19</v>
      </c>
      <c r="C4" s="24" t="str">
        <f>"110"</f>
        <v>110</v>
      </c>
      <c r="D4" s="24" t="s">
        <v>27</v>
      </c>
      <c r="E4" s="23" t="s">
        <v>28</v>
      </c>
      <c r="F4" s="25">
        <v>2020</v>
      </c>
      <c r="G4" s="25">
        <v>43385</v>
      </c>
      <c r="H4" s="25">
        <v>118890989</v>
      </c>
      <c r="I4" s="26">
        <f>H4/Documentation!$B$25</f>
        <v>118.890989</v>
      </c>
      <c r="J4" s="26">
        <f>H4/Documentation!$B$26</f>
        <v>45.904067484146182</v>
      </c>
      <c r="K4" s="27">
        <f>G4/I4</f>
        <v>364.91411472739958</v>
      </c>
      <c r="L4" s="28">
        <v>15.1980954</v>
      </c>
      <c r="M4" s="28">
        <v>145.7771923</v>
      </c>
      <c r="N4" s="23" t="s">
        <v>22</v>
      </c>
      <c r="O4" s="23" t="s">
        <v>23</v>
      </c>
      <c r="P4" s="28">
        <v>15.1992467</v>
      </c>
      <c r="Q4" s="28">
        <v>145.77735799999999</v>
      </c>
      <c r="R4" s="23" t="s">
        <v>24</v>
      </c>
    </row>
    <row r="5" spans="1:18" ht="31.95" customHeight="1">
      <c r="A5" s="23" t="s">
        <v>18</v>
      </c>
      <c r="B5" s="24" t="s">
        <v>19</v>
      </c>
      <c r="C5" s="24" t="str">
        <f>"120"</f>
        <v>120</v>
      </c>
      <c r="D5" s="24" t="s">
        <v>29</v>
      </c>
      <c r="E5" s="23" t="s">
        <v>30</v>
      </c>
      <c r="F5" s="25">
        <v>2020</v>
      </c>
      <c r="G5" s="25">
        <v>2044</v>
      </c>
      <c r="H5" s="25">
        <v>108237604</v>
      </c>
      <c r="I5" s="26">
        <f>H5/Documentation!$B$25</f>
        <v>108.237604</v>
      </c>
      <c r="J5" s="26">
        <f>H5/Documentation!$B$26</f>
        <v>41.790772539862466</v>
      </c>
      <c r="K5" s="27">
        <f>G5/I5</f>
        <v>18.88437959140337</v>
      </c>
      <c r="L5" s="28">
        <v>14.997541500000001</v>
      </c>
      <c r="M5" s="28">
        <v>145.62080599999999</v>
      </c>
      <c r="N5" s="23" t="s">
        <v>22</v>
      </c>
      <c r="O5" s="23" t="s">
        <v>23</v>
      </c>
      <c r="P5" s="28">
        <v>14.946504300000001</v>
      </c>
      <c r="Q5" s="28">
        <v>145.60482970000001</v>
      </c>
      <c r="R5" s="23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showGridLines="0" workbookViewId="0"/>
  </sheetViews>
  <sheetFormatPr defaultRowHeight="13.8"/>
  <cols>
    <col min="1" max="1" width="30" customWidth="1"/>
    <col min="2" max="2" width="58" customWidth="1"/>
    <col min="3" max="3" width="3" customWidth="1"/>
    <col min="4" max="4" width="34" customWidth="1"/>
    <col min="5" max="8" width="22" customWidth="1"/>
  </cols>
  <sheetData>
    <row r="1" spans="1:8" ht="34.049999999999997" customHeight="1">
      <c r="A1" s="29" t="s">
        <v>31</v>
      </c>
      <c r="B1" s="29"/>
      <c r="C1" s="29"/>
      <c r="D1" s="29"/>
      <c r="E1" s="29"/>
      <c r="F1" s="29"/>
      <c r="G1" s="29"/>
      <c r="H1" s="29"/>
    </row>
    <row r="2" spans="1:8" ht="34.049999999999997" customHeight="1">
      <c r="A2" s="30" t="s">
        <v>32</v>
      </c>
      <c r="B2" s="30"/>
      <c r="C2" s="30"/>
      <c r="D2" s="30"/>
      <c r="E2" s="30"/>
      <c r="F2" s="30"/>
      <c r="G2" s="30"/>
      <c r="H2" s="30"/>
    </row>
    <row r="3" spans="1:8" ht="14.4">
      <c r="A3" s="1"/>
      <c r="B3" s="1"/>
      <c r="C3" s="1"/>
      <c r="D3" s="1"/>
      <c r="E3" s="1"/>
      <c r="F3" s="1"/>
      <c r="G3" s="1"/>
      <c r="H3" s="1"/>
    </row>
    <row r="4" spans="1:8" ht="14.4">
      <c r="A4" s="31" t="s">
        <v>33</v>
      </c>
      <c r="B4" s="31"/>
      <c r="C4" s="1"/>
      <c r="D4" s="31" t="s">
        <v>34</v>
      </c>
      <c r="E4" s="31"/>
      <c r="F4" s="31"/>
      <c r="G4" s="31"/>
      <c r="H4" s="31"/>
    </row>
    <row r="5" spans="1:8" ht="34.049999999999997" customHeight="1">
      <c r="A5" s="2" t="s">
        <v>35</v>
      </c>
      <c r="B5" s="3" t="s">
        <v>36</v>
      </c>
      <c r="C5" s="1"/>
      <c r="D5" s="4" t="s">
        <v>37</v>
      </c>
      <c r="E5" s="32" t="s">
        <v>24</v>
      </c>
      <c r="F5" s="32"/>
      <c r="G5" s="32"/>
      <c r="H5" s="33"/>
    </row>
    <row r="6" spans="1:8" ht="34.049999999999997" customHeight="1">
      <c r="A6" s="5" t="s">
        <v>38</v>
      </c>
      <c r="B6" s="6">
        <f>COUNTA(CNMI_County_Data!$E$2:$E$5)</f>
        <v>4</v>
      </c>
      <c r="C6" s="1"/>
      <c r="D6" s="7" t="s">
        <v>39</v>
      </c>
      <c r="E6" s="34" t="s">
        <v>40</v>
      </c>
      <c r="F6" s="34"/>
      <c r="G6" s="34"/>
      <c r="H6" s="35"/>
    </row>
    <row r="7" spans="1:8" ht="34.049999999999997" customHeight="1">
      <c r="A7" s="5" t="s">
        <v>41</v>
      </c>
      <c r="B7" s="6">
        <f>SUM(CNMI_County_Data!$G$2:$G$5)</f>
        <v>47329</v>
      </c>
      <c r="C7" s="1"/>
      <c r="D7" s="9" t="s">
        <v>42</v>
      </c>
      <c r="E7" s="36" t="s">
        <v>43</v>
      </c>
      <c r="F7" s="36"/>
      <c r="G7" s="36"/>
      <c r="H7" s="37"/>
    </row>
    <row r="8" spans="1:8" ht="14.4">
      <c r="A8" s="5" t="s">
        <v>44</v>
      </c>
      <c r="B8" s="11">
        <f>SUM(CNMI_County_Data!$I$2:$I$5)</f>
        <v>472.29251799999997</v>
      </c>
      <c r="C8" s="1"/>
      <c r="D8" s="1"/>
      <c r="E8" s="1"/>
      <c r="F8" s="1"/>
      <c r="G8" s="1"/>
      <c r="H8" s="1"/>
    </row>
    <row r="9" spans="1:8" ht="14.4">
      <c r="A9" s="12" t="s">
        <v>45</v>
      </c>
      <c r="B9" s="13">
        <f>SUM(CNMI_County_Data!$J$2:$J$5)</f>
        <v>182.35316066324697</v>
      </c>
      <c r="C9" s="1"/>
      <c r="D9" s="1"/>
      <c r="E9" s="1"/>
      <c r="F9" s="1"/>
      <c r="G9" s="1"/>
      <c r="H9" s="1"/>
    </row>
    <row r="10" spans="1:8" ht="14.4">
      <c r="A10" s="1"/>
      <c r="B10" s="1"/>
      <c r="C10" s="1"/>
      <c r="D10" s="1"/>
      <c r="E10" s="1"/>
      <c r="F10" s="1"/>
      <c r="G10" s="1"/>
      <c r="H10" s="1"/>
    </row>
    <row r="11" spans="1:8" ht="14.4">
      <c r="A11" s="31" t="s">
        <v>46</v>
      </c>
      <c r="B11" s="31"/>
      <c r="C11" s="31"/>
      <c r="D11" s="31" t="s">
        <v>47</v>
      </c>
      <c r="E11" s="31"/>
      <c r="F11" s="31"/>
      <c r="G11" s="31"/>
      <c r="H11" s="31"/>
    </row>
    <row r="12" spans="1:8" ht="14.4">
      <c r="A12" s="14" t="s">
        <v>48</v>
      </c>
      <c r="B12" s="15" t="s">
        <v>49</v>
      </c>
      <c r="C12" s="1"/>
      <c r="D12" s="16" t="s">
        <v>50</v>
      </c>
      <c r="E12" s="17" t="s">
        <v>51</v>
      </c>
      <c r="F12" s="1"/>
      <c r="G12" s="1"/>
      <c r="H12" s="1"/>
    </row>
    <row r="13" spans="1:8" ht="34.049999999999997" customHeight="1">
      <c r="A13" s="7" t="s">
        <v>4</v>
      </c>
      <c r="B13" s="8" t="s">
        <v>52</v>
      </c>
      <c r="C13" s="1"/>
      <c r="D13" s="5" t="s">
        <v>53</v>
      </c>
      <c r="E13" s="18">
        <v>1000000</v>
      </c>
      <c r="F13" s="1"/>
      <c r="G13" s="1"/>
      <c r="H13" s="1"/>
    </row>
    <row r="14" spans="1:8" ht="34.049999999999997" customHeight="1">
      <c r="A14" s="7" t="s">
        <v>6</v>
      </c>
      <c r="B14" s="8" t="s">
        <v>54</v>
      </c>
      <c r="C14" s="1"/>
      <c r="D14" s="12" t="s">
        <v>55</v>
      </c>
      <c r="E14" s="19">
        <v>2589988.1103360001</v>
      </c>
      <c r="F14" s="1"/>
      <c r="G14" s="1"/>
      <c r="H14" s="1"/>
    </row>
    <row r="15" spans="1:8" ht="34.049999999999997" customHeight="1">
      <c r="A15" s="7" t="s">
        <v>7</v>
      </c>
      <c r="B15" s="8" t="s">
        <v>56</v>
      </c>
      <c r="C15" s="1"/>
      <c r="D15" s="1"/>
      <c r="E15" s="1"/>
      <c r="F15" s="1"/>
      <c r="G15" s="1"/>
      <c r="H15" s="1"/>
    </row>
    <row r="16" spans="1:8" ht="34.049999999999997" customHeight="1">
      <c r="A16" s="7" t="s">
        <v>57</v>
      </c>
      <c r="B16" s="8" t="s">
        <v>58</v>
      </c>
      <c r="C16" s="1"/>
      <c r="D16" s="1"/>
      <c r="E16" s="1"/>
      <c r="F16" s="1"/>
      <c r="G16" s="1"/>
      <c r="H16" s="1"/>
    </row>
    <row r="17" spans="1:8" ht="34.049999999999997" customHeight="1">
      <c r="A17" s="7" t="s">
        <v>59</v>
      </c>
      <c r="B17" s="8" t="s">
        <v>60</v>
      </c>
      <c r="C17" s="1"/>
      <c r="D17" s="1"/>
      <c r="E17" s="1"/>
      <c r="F17" s="1"/>
      <c r="G17" s="1"/>
      <c r="H17" s="1"/>
    </row>
    <row r="18" spans="1:8" ht="34.049999999999997" customHeight="1">
      <c r="A18" s="7" t="s">
        <v>61</v>
      </c>
      <c r="B18" s="8" t="s">
        <v>62</v>
      </c>
      <c r="C18" s="1"/>
      <c r="D18" s="1"/>
      <c r="E18" s="1"/>
      <c r="F18" s="1"/>
      <c r="G18" s="1"/>
      <c r="H18" s="1"/>
    </row>
    <row r="19" spans="1:8" ht="34.049999999999997" customHeight="1">
      <c r="A19" s="7" t="s">
        <v>14</v>
      </c>
      <c r="B19" s="8" t="s">
        <v>63</v>
      </c>
      <c r="C19" s="1"/>
      <c r="D19" s="1"/>
      <c r="E19" s="1"/>
      <c r="F19" s="1"/>
      <c r="G19" s="1"/>
      <c r="H19" s="1"/>
    </row>
    <row r="20" spans="1:8" ht="34.049999999999997" customHeight="1">
      <c r="A20" s="7" t="s">
        <v>64</v>
      </c>
      <c r="B20" s="8" t="s">
        <v>65</v>
      </c>
      <c r="C20" s="1"/>
      <c r="D20" s="1"/>
      <c r="E20" s="1"/>
      <c r="F20" s="1"/>
      <c r="G20" s="1"/>
      <c r="H20" s="1"/>
    </row>
    <row r="21" spans="1:8" ht="34.049999999999997" customHeight="1">
      <c r="A21" s="7" t="s">
        <v>66</v>
      </c>
      <c r="B21" s="8" t="s">
        <v>67</v>
      </c>
      <c r="C21" s="1"/>
      <c r="D21" s="1"/>
      <c r="E21" s="1"/>
      <c r="F21" s="1"/>
      <c r="G21" s="1"/>
      <c r="H21" s="1"/>
    </row>
    <row r="22" spans="1:8" ht="34.049999999999997" customHeight="1">
      <c r="A22" s="7" t="s">
        <v>68</v>
      </c>
      <c r="B22" s="8" t="s">
        <v>69</v>
      </c>
      <c r="C22" s="1"/>
      <c r="D22" s="1"/>
      <c r="E22" s="1"/>
      <c r="F22" s="1"/>
      <c r="G22" s="1"/>
      <c r="H22" s="1"/>
    </row>
    <row r="23" spans="1:8" ht="34.049999999999997" customHeight="1">
      <c r="A23" s="9" t="s">
        <v>70</v>
      </c>
      <c r="B23" s="10" t="s">
        <v>71</v>
      </c>
      <c r="C23" s="1"/>
      <c r="D23" s="1"/>
      <c r="E23" s="1"/>
      <c r="F23" s="1"/>
      <c r="G23" s="1"/>
      <c r="H23" s="1"/>
    </row>
    <row r="24" spans="1:8" ht="14.4">
      <c r="A24" s="1"/>
      <c r="B24" s="1"/>
      <c r="C24" s="1"/>
      <c r="D24" s="1"/>
      <c r="E24" s="1"/>
      <c r="F24" s="1"/>
      <c r="G24" s="1"/>
      <c r="H24" s="1"/>
    </row>
    <row r="25" spans="1:8" ht="14.4">
      <c r="A25" s="20" t="s">
        <v>72</v>
      </c>
      <c r="B25" s="21">
        <v>1000000</v>
      </c>
      <c r="C25" s="1"/>
      <c r="D25" s="1"/>
      <c r="E25" s="1"/>
      <c r="F25" s="1"/>
      <c r="G25" s="1"/>
      <c r="H25" s="1"/>
    </row>
    <row r="26" spans="1:8" ht="14.4">
      <c r="A26" s="20" t="s">
        <v>73</v>
      </c>
      <c r="B26" s="21">
        <v>2589988.1103360001</v>
      </c>
      <c r="C26" s="1"/>
      <c r="D26" s="1"/>
      <c r="E26" s="1"/>
      <c r="F26" s="1"/>
      <c r="G26" s="1"/>
      <c r="H26" s="1"/>
    </row>
  </sheetData>
  <mergeCells count="8">
    <mergeCell ref="E6:H6"/>
    <mergeCell ref="E7:H7"/>
    <mergeCell ref="A11:H11"/>
    <mergeCell ref="A1:H1"/>
    <mergeCell ref="A2:H2"/>
    <mergeCell ref="A4:B4"/>
    <mergeCell ref="D4:H4"/>
    <mergeCell ref="E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CNMI_County_Data</vt:lpstr>
      <vt:lpstr>Documentation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Tippins, Ashley (CDC/NCIRD/ISD)</dc:creator>
  <cp:lastModifiedBy>Tippins, Ashley (CDC/NCIRD/ISD)</cp:lastModifiedBy>
  <dcterms:modified xsi:type="dcterms:W3CDTF">2026-08-25T15:57:10Z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f03ff0-41c5-4c41-b55e-fabb8fae94be_Enabled">
    <vt:lpwstr>true</vt:lpwstr>
  </property>
  <property fmtid="{D5CDD505-2E9C-101B-9397-08002B2CF9AE}" pid="3" name="MSIP_Label_8af03ff0-41c5-4c41-b55e-fabb8fae94be_SetDate">
    <vt:lpwstr>2026-08-25T15:56:30Z</vt:lpwstr>
  </property>
  <property fmtid="{D5CDD505-2E9C-101B-9397-08002B2CF9AE}" pid="4" name="MSIP_Label_8af03ff0-41c5-4c41-b55e-fabb8fae94be_Method">
    <vt:lpwstr>Privileged</vt:lpwstr>
  </property>
  <property fmtid="{D5CDD505-2E9C-101B-9397-08002B2CF9AE}" pid="5" name="MSIP_Label_8af03ff0-41c5-4c41-b55e-fabb8fae94be_Name">
    <vt:lpwstr>8af03ff0-41c5-4c41-b55e-fabb8fae94be</vt:lpwstr>
  </property>
  <property fmtid="{D5CDD505-2E9C-101B-9397-08002B2CF9AE}" pid="6" name="MSIP_Label_8af03ff0-41c5-4c41-b55e-fabb8fae94be_SiteId">
    <vt:lpwstr>9ce70869-60db-44fd-abe8-d2767077fc8f</vt:lpwstr>
  </property>
  <property fmtid="{D5CDD505-2E9C-101B-9397-08002B2CF9AE}" pid="7" name="MSIP_Label_8af03ff0-41c5-4c41-b55e-fabb8fae94be_ActionId">
    <vt:lpwstr>5fe958c0-d8f9-4572-9a39-9630ca676443</vt:lpwstr>
  </property>
  <property fmtid="{D5CDD505-2E9C-101B-9397-08002B2CF9AE}" pid="8" name="MSIP_Label_8af03ff0-41c5-4c41-b55e-fabb8fae94be_ContentBits">
    <vt:lpwstr>0</vt:lpwstr>
  </property>
  <property fmtid="{D5CDD505-2E9C-101B-9397-08002B2CF9AE}" pid="9" name="MSIP_Label_8af03ff0-41c5-4c41-b55e-fabb8fae94be_Tag">
    <vt:lpwstr>10, 0, 1, 1</vt:lpwstr>
  </property>
</Properties>
</file>